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ce9918c6f12afa/Desktop/Entri Week Assignments/Data Exploration/"/>
    </mc:Choice>
  </mc:AlternateContent>
  <xr:revisionPtr revIDLastSave="0" documentId="8_{06A834CE-63E9-4766-B590-3FD8A7C443F8}" xr6:coauthVersionLast="47" xr6:coauthVersionMax="47" xr10:uidLastSave="{00000000-0000-0000-0000-000000000000}"/>
  <bookViews>
    <workbookView xWindow="-108" yWindow="-108" windowWidth="23256" windowHeight="12456" activeTab="1" xr2:uid="{BC668BBE-E62E-466E-9771-6B789F108C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2" l="1"/>
  <c r="H2" i="2" a="1"/>
  <c r="H2" i="2" s="1"/>
  <c r="O9" i="2"/>
  <c r="K2" i="2" a="1"/>
  <c r="K2" i="2" s="1"/>
  <c r="J2" i="2" a="1"/>
  <c r="J2" i="2" s="1"/>
  <c r="I2" i="2" a="1"/>
  <c r="I2" i="2" s="1"/>
  <c r="O19" i="2"/>
  <c r="O17" i="2"/>
  <c r="O13" i="2"/>
  <c r="O11" i="2"/>
  <c r="O7" i="2"/>
  <c r="O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<sst xmlns="http://schemas.openxmlformats.org/spreadsheetml/2006/main" count="296" uniqueCount="105">
  <si>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</si>
  <si>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</si>
  <si>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</si>
  <si>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</si>
  <si>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</si>
  <si>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</si>
  <si>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</si>
  <si>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</si>
  <si>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</si>
  <si>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</si>
  <si>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</si>
  <si>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</si>
  <si>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</si>
  <si>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</si>
  <si>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</si>
  <si>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</si>
  <si>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</si>
  <si>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</si>
  <si>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</si>
  <si>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</si>
  <si>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</si>
  <si>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</si>
  <si>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</si>
  <si>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</si>
  <si>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</si>
  <si>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</si>
  <si>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</si>
  <si>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</si>
  <si>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</si>
  <si>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</si>
  <si>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</si>
  <si>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</si>
  <si>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</si>
  <si>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</si>
  <si>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</si>
  <si>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</si>
  <si>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</si>
  <si>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</si>
  <si>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</si>
  <si>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</si>
  <si>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</si>
  <si>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</si>
  <si>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</si>
  <si>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</si>
  <si>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</si>
  <si>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</si>
  <si>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</si>
  <si>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</si>
  <si>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</si>
  <si>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</si>
  <si>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</si>
  <si>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</si>
  <si>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</si>
  <si>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</si>
  <si>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</si>
  <si>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</si>
  <si>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</si>
  <si>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</si>
  <si>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</si>
  <si>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</si>
  <si>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</si>
  <si>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</si>
  <si>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</si>
  <si>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</si>
  <si>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</si>
  <si>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</si>
  <si>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</si>
  <si>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</si>
  <si>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</si>
  <si>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</si>
  <si>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</si>
  <si>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</si>
  <si>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</si>
  <si>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</si>
  <si>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</si>
  <si>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</si>
  <si>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</si>
  <si>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</si>
  <si>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</si>
  <si>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</si>
  <si>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</si>
  <si>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</si>
  <si>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</si>
  <si>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</si>
  <si>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</si>
  <si>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</si>
  <si>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</si>
  <si>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</si>
  <si>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</si>
  <si>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</si>
  <si>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</si>
  <si>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</si>
  <si>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</si>
  <si>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the products</t>
  </si>
  <si>
    <t>Total Price</t>
  </si>
  <si>
    <t>How many products exists in the dataset</t>
  </si>
  <si>
    <t>Average price of the products</t>
  </si>
  <si>
    <t>Minimum price among all the products</t>
  </si>
  <si>
    <t>Maximum price among all the products</t>
  </si>
  <si>
    <t>Price Range</t>
  </si>
  <si>
    <t>No of products with a price less than $100</t>
  </si>
  <si>
    <t>Country Code</t>
  </si>
  <si>
    <t>Month</t>
  </si>
  <si>
    <t>Day</t>
  </si>
  <si>
    <t>The total price of products in the Electronics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</si>
</sst>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/>
    </xf>
    <xf numFmtId="0" fontId="4" fillId="3" borderId="0" xfId="1" applyFont="1" applyFill="1" applyAlignment="1">
      <alignment horizontal="center"/>
    </xf>
    <xf numFmtId="0" fontId="1" fillId="0" borderId="1" xfId="0" applyFont="1" applyBorder="1"/>
  </cellXfs>
  <cellStyles count="2">
    <cellStyle name="Normal" xfId="0" builtinId="0"/>
    <cellStyle name="Normal 2" xfId="1" xr:uid="{6C92EEB9-A505-4CB5-99CD-8264E52C0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2</xdr:row>
      <xdr:rowOff>144780</xdr:rowOff>
    </xdr:from>
    <xdr:to>
      <xdr:col>17</xdr:col>
      <xdr:colOff>228600</xdr:colOff>
      <xdr:row>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6A5030-83F9-4090-7A3C-4183CAA97E9C}"/>
            </a:ext>
          </a:extLst>
        </xdr:cNvPr>
        <xdr:cNvSpPr txBox="1"/>
      </xdr:nvSpPr>
      <xdr:spPr>
        <a:xfrm>
          <a:off x="8694420" y="525780"/>
          <a:ext cx="5554980" cy="51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To calculate the total price , we need to perform PRICE*QUANTITY.</a:t>
          </a:r>
          <a:r>
            <a:rPr lang="en-IN" sz="1200" b="1" baseline="0"/>
            <a:t> So the new column is addeed and named as TOTAL PRICE</a:t>
          </a:r>
          <a:r>
            <a:rPr lang="en-IN" sz="1100" baseline="0"/>
            <a:t>.</a:t>
          </a:r>
          <a:endParaRPr lang="en-IN" sz="1100"/>
        </a:p>
      </xdr:txBody>
    </xdr:sp>
    <xdr:clientData/>
  </xdr:twoCellAnchor>
  <xdr:twoCellAnchor>
    <xdr:from>
      <xdr:col>12</xdr:col>
      <xdr:colOff>45720</xdr:colOff>
      <xdr:row>14</xdr:row>
      <xdr:rowOff>0</xdr:rowOff>
    </xdr:from>
    <xdr:to>
      <xdr:col>14</xdr:col>
      <xdr:colOff>45720</xdr:colOff>
      <xdr:row>15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A62D347-CB69-D0CB-FF2B-86B4C48817C5}"/>
            </a:ext>
          </a:extLst>
        </xdr:cNvPr>
        <xdr:cNvSpPr txBox="1"/>
      </xdr:nvSpPr>
      <xdr:spPr>
        <a:xfrm>
          <a:off x="8679180" y="2575560"/>
          <a:ext cx="3558540" cy="281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New</a:t>
          </a:r>
          <a:r>
            <a:rPr lang="en-IN" sz="1200" b="1" baseline="0"/>
            <a:t> column named  PRICE RANGE is created.</a:t>
          </a:r>
          <a:endParaRPr lang="en-IN" sz="1200" b="1"/>
        </a:p>
      </xdr:txBody>
    </xdr:sp>
    <xdr:clientData/>
  </xdr:twoCellAnchor>
  <xdr:twoCellAnchor>
    <xdr:from>
      <xdr:col>12</xdr:col>
      <xdr:colOff>45720</xdr:colOff>
      <xdr:row>19</xdr:row>
      <xdr:rowOff>121920</xdr:rowOff>
    </xdr:from>
    <xdr:to>
      <xdr:col>16</xdr:col>
      <xdr:colOff>373380</xdr:colOff>
      <xdr:row>21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A9CF62-16B0-126D-D352-1627291F0A1A}"/>
            </a:ext>
          </a:extLst>
        </xdr:cNvPr>
        <xdr:cNvSpPr txBox="1"/>
      </xdr:nvSpPr>
      <xdr:spPr>
        <a:xfrm>
          <a:off x="8374380" y="3611880"/>
          <a:ext cx="510540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Three New columns named  DAY , COUNTRY CODE , MONTH is created</a:t>
          </a:r>
          <a:r>
            <a:rPr lang="en-IN" sz="1100"/>
            <a:t>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04C3-D5D4-4D02-A4D9-D8A6AA9F7057}">
  <dimension ref="A1:G36"/>
  <sheetViews>
    <sheetView workbookViewId="0">
      <selection activeCell="H17" sqref="H17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3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2"/>
    </row>
    <row r="3" spans="1:7" x14ac:dyDescent="0.3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2"/>
    </row>
    <row r="4" spans="1:7" x14ac:dyDescent="0.3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2"/>
    </row>
    <row r="5" spans="1:7" x14ac:dyDescent="0.3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2"/>
    </row>
    <row r="6" spans="1:7" x14ac:dyDescent="0.3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2"/>
    </row>
    <row r="7" spans="1:7" x14ac:dyDescent="0.3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2"/>
    </row>
    <row r="8" spans="1:7" x14ac:dyDescent="0.3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2"/>
    </row>
    <row r="9" spans="1:7" x14ac:dyDescent="0.3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2"/>
    </row>
    <row r="10" spans="1:7" x14ac:dyDescent="0.3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2"/>
    </row>
    <row r="11" spans="1:7" x14ac:dyDescent="0.3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2"/>
    </row>
    <row r="12" spans="1:7" x14ac:dyDescent="0.3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2"/>
    </row>
    <row r="13" spans="1:7" x14ac:dyDescent="0.3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2"/>
    </row>
    <row r="14" spans="1:7" x14ac:dyDescent="0.3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2"/>
    </row>
    <row r="15" spans="1:7" x14ac:dyDescent="0.3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2"/>
    </row>
    <row r="16" spans="1:7" x14ac:dyDescent="0.3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2"/>
    </row>
    <row r="17" spans="1:7" x14ac:dyDescent="0.3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2"/>
    </row>
    <row r="18" spans="1:7" x14ac:dyDescent="0.3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2"/>
    </row>
    <row r="19" spans="1:7" x14ac:dyDescent="0.3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2"/>
    </row>
    <row r="20" spans="1:7" x14ac:dyDescent="0.3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2"/>
    </row>
    <row r="21" spans="1:7" x14ac:dyDescent="0.3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2"/>
    </row>
    <row r="22" spans="1:7" x14ac:dyDescent="0.3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2"/>
    </row>
    <row r="23" spans="1:7" x14ac:dyDescent="0.3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2"/>
    </row>
    <row r="24" spans="1:7" x14ac:dyDescent="0.3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2"/>
    </row>
    <row r="25" spans="1:7" x14ac:dyDescent="0.3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2"/>
    </row>
    <row r="26" spans="1:7" x14ac:dyDescent="0.3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2"/>
    </row>
    <row r="27" spans="1:7" x14ac:dyDescent="0.3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2"/>
    </row>
    <row r="28" spans="1:7" x14ac:dyDescent="0.3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2"/>
    </row>
    <row r="29" spans="1:7" x14ac:dyDescent="0.3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2"/>
    </row>
    <row r="30" spans="1:7" x14ac:dyDescent="0.3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2"/>
    </row>
    <row r="31" spans="1:7" x14ac:dyDescent="0.3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2"/>
    </row>
    <row r="32" spans="1:7" x14ac:dyDescent="0.3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2"/>
    </row>
    <row r="33" spans="1:7" x14ac:dyDescent="0.3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2"/>
    </row>
    <row r="34" spans="1:7" x14ac:dyDescent="0.3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2"/>
    </row>
    <row r="35" spans="1:7" x14ac:dyDescent="0.3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2"/>
    </row>
    <row r="36" spans="1:7" x14ac:dyDescent="0.3">
      <c r="A36" s="2"/>
      <c r="B36" s="2"/>
      <c r="C36" s="2"/>
      <c r="D36" s="2"/>
      <c r="E36" s="2"/>
      <c r="F36" s="2"/>
      <c r="G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D256-E499-448D-8193-B79204A3C035}">
  <dimension ref="A1:Q36"/>
  <sheetViews>
    <sheetView tabSelected="1" workbookViewId="0">
      <selection activeCell="D18" sqref="D18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10.33203125" bestFit="1" customWidth="1"/>
    <col min="8" max="8" width="13.33203125" bestFit="1" customWidth="1"/>
    <col min="10" max="10" width="13.33203125" bestFit="1" customWidth="1"/>
    <col min="13" max="13" width="44.6640625" customWidth="1"/>
  </cols>
  <sheetData>
    <row r="1" spans="1:1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</v>
      </c>
      <c r="H1" s="1" t="s">
        <v>99</v>
      </c>
      <c r="I1" s="1" t="s">
        <v>103</v>
      </c>
      <c r="J1" s="1" t="s">
        <v>101</v>
      </c>
      <c r="K1" s="1" t="s">
        <v>102</v>
      </c>
    </row>
    <row r="2" spans="1:17" ht="15" thickBot="1" x14ac:dyDescent="0.3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>
        <f>PRODUCT(D2,E2)</f>
        <v>30000</v>
      </c>
      <c r="H2" s="3" t="str" cm="1">
        <f t="array" ref="H2:H35">IF(D2:D35&gt;=500,"High Price", "Standard Price")</f>
        <v>High Price</v>
      </c>
      <c r="I2" s="3" t="str" cm="1">
        <f t="array" ref="I2:I35">LEFT(A2:A35,2)</f>
        <v>28</v>
      </c>
      <c r="J2" s="3" t="str" cm="1">
        <f t="array" ref="J2:J35">RIGHT(A2:A35,2)</f>
        <v>US</v>
      </c>
      <c r="K2" s="3" t="str" cm="1">
        <f t="array" ref="K2:K35">MID(A2:A35,4,3)</f>
        <v>JAN</v>
      </c>
      <c r="M2" s="5" t="s">
        <v>93</v>
      </c>
      <c r="O2" s="5">
        <f>SUM(G2:G35)</f>
        <v>289700</v>
      </c>
    </row>
    <row r="3" spans="1:17" x14ac:dyDescent="0.3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4">
        <f t="shared" ref="G3:G35" si="0">PRODUCT(D3,E3)</f>
        <v>1200</v>
      </c>
      <c r="H3" s="4" t="str">
        <v>Standard Price</v>
      </c>
      <c r="I3" s="4" t="str">
        <v>15</v>
      </c>
      <c r="J3" s="4" t="str">
        <v>US</v>
      </c>
      <c r="K3" s="4" t="str">
        <v>FEB</v>
      </c>
    </row>
    <row r="4" spans="1:17" x14ac:dyDescent="0.3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>
        <f t="shared" si="0"/>
        <v>5200</v>
      </c>
      <c r="H4" s="3" t="str">
        <v>Standard Price</v>
      </c>
      <c r="I4" s="3" t="str">
        <v>03</v>
      </c>
      <c r="J4" s="3" t="str">
        <v>US</v>
      </c>
      <c r="K4" s="3" t="str">
        <v>MAR</v>
      </c>
    </row>
    <row r="5" spans="1:17" x14ac:dyDescent="0.3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4">
        <f t="shared" si="0"/>
        <v>22500</v>
      </c>
      <c r="H5" s="4" t="str">
        <v>High Price</v>
      </c>
      <c r="I5" s="4" t="str">
        <v>11</v>
      </c>
      <c r="J5" s="4" t="str">
        <v>US</v>
      </c>
      <c r="K5" s="4" t="str">
        <v>APR</v>
      </c>
    </row>
    <row r="6" spans="1:17" ht="15" thickBot="1" x14ac:dyDescent="0.3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>
        <f t="shared" si="0"/>
        <v>1400</v>
      </c>
      <c r="H6" s="3" t="str">
        <v>Standard Price</v>
      </c>
      <c r="I6" s="3" t="str">
        <v>22</v>
      </c>
      <c r="J6" s="3" t="str">
        <v>US</v>
      </c>
      <c r="K6" s="3" t="str">
        <v>MAY</v>
      </c>
    </row>
    <row r="7" spans="1:17" ht="15" thickBot="1" x14ac:dyDescent="0.3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4">
        <f t="shared" si="0"/>
        <v>9000</v>
      </c>
      <c r="H7" s="4" t="str">
        <v>Standard Price</v>
      </c>
      <c r="I7" s="4" t="str">
        <v>07</v>
      </c>
      <c r="J7" s="4" t="str">
        <v>UK</v>
      </c>
      <c r="K7" s="4" t="str">
        <v>JUN</v>
      </c>
      <c r="M7" s="5" t="s">
        <v>95</v>
      </c>
      <c r="O7" s="5">
        <f>COUNT(D2:D35)</f>
        <v>34</v>
      </c>
    </row>
    <row r="8" spans="1:17" ht="15" thickBot="1" x14ac:dyDescent="0.3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>
        <f t="shared" si="0"/>
        <v>150</v>
      </c>
      <c r="H8" s="3" t="str">
        <v>Standard Price</v>
      </c>
      <c r="I8" s="3" t="str">
        <v>19</v>
      </c>
      <c r="J8" s="3" t="str">
        <v>UK</v>
      </c>
      <c r="K8" s="3" t="str">
        <v>JUL</v>
      </c>
    </row>
    <row r="9" spans="1:17" ht="15" thickBot="1" x14ac:dyDescent="0.3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4">
        <f t="shared" si="0"/>
        <v>3150</v>
      </c>
      <c r="H9" s="4" t="str">
        <v>Standard Price</v>
      </c>
      <c r="I9" s="4" t="str">
        <v>23</v>
      </c>
      <c r="J9" s="4" t="str">
        <v>UK</v>
      </c>
      <c r="K9" s="4" t="str">
        <v>AUG</v>
      </c>
      <c r="M9" s="5" t="s">
        <v>96</v>
      </c>
      <c r="O9" s="5">
        <f>AVERAGE(D2:D35)</f>
        <v>297.05882352941177</v>
      </c>
      <c r="Q9" s="5">
        <f>ROUND(O9,2)</f>
        <v>297.06</v>
      </c>
    </row>
    <row r="10" spans="1:17" ht="15" thickBot="1" x14ac:dyDescent="0.3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>
        <f t="shared" si="0"/>
        <v>25000</v>
      </c>
      <c r="H10" s="3" t="str">
        <v>High Price</v>
      </c>
      <c r="I10" s="3" t="str">
        <v>05</v>
      </c>
      <c r="J10" s="3" t="str">
        <v>UK</v>
      </c>
      <c r="K10" s="3" t="str">
        <v>SEP</v>
      </c>
    </row>
    <row r="11" spans="1:17" ht="15" thickBot="1" x14ac:dyDescent="0.3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4">
        <f t="shared" si="0"/>
        <v>1300</v>
      </c>
      <c r="H11" s="4" t="str">
        <v>Standard Price</v>
      </c>
      <c r="I11" s="4" t="str">
        <v>14</v>
      </c>
      <c r="J11" s="4" t="str">
        <v>UK</v>
      </c>
      <c r="K11" s="4" t="str">
        <v>OCT</v>
      </c>
      <c r="M11" s="5" t="s">
        <v>97</v>
      </c>
      <c r="O11" s="5">
        <f>MIN(D2:D35)</f>
        <v>30</v>
      </c>
    </row>
    <row r="12" spans="1:17" ht="15" thickBot="1" x14ac:dyDescent="0.3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>
        <f t="shared" si="0"/>
        <v>23750</v>
      </c>
      <c r="H12" s="3" t="str">
        <v>High Price</v>
      </c>
      <c r="I12" s="3" t="str">
        <v>17</v>
      </c>
      <c r="J12" s="3" t="str">
        <v>IN</v>
      </c>
      <c r="K12" s="3" t="str">
        <v>JUN</v>
      </c>
    </row>
    <row r="13" spans="1:17" ht="15" thickBot="1" x14ac:dyDescent="0.3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4">
        <f t="shared" si="0"/>
        <v>3600</v>
      </c>
      <c r="H13" s="4" t="str">
        <v>Standard Price</v>
      </c>
      <c r="I13" s="4" t="str">
        <v>25</v>
      </c>
      <c r="J13" s="4" t="str">
        <v>AU</v>
      </c>
      <c r="K13" s="4" t="str">
        <v>NOV</v>
      </c>
      <c r="M13" s="5" t="s">
        <v>98</v>
      </c>
      <c r="O13" s="5">
        <f>MAX(D2:D35)</f>
        <v>1000</v>
      </c>
    </row>
    <row r="14" spans="1:17" x14ac:dyDescent="0.3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>
        <f t="shared" si="0"/>
        <v>4200</v>
      </c>
      <c r="H14" s="3" t="str">
        <v>Standard Price</v>
      </c>
      <c r="I14" s="3" t="str">
        <v>08</v>
      </c>
      <c r="J14" s="3" t="str">
        <v>DE</v>
      </c>
      <c r="K14" s="3" t="str">
        <v>DEC</v>
      </c>
    </row>
    <row r="15" spans="1:17" x14ac:dyDescent="0.3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4">
        <f t="shared" si="0"/>
        <v>2250</v>
      </c>
      <c r="H15" s="4" t="str">
        <v>Standard Price</v>
      </c>
      <c r="I15" s="4" t="str">
        <v>18</v>
      </c>
      <c r="J15" s="4" t="str">
        <v>CA</v>
      </c>
      <c r="K15" s="4" t="str">
        <v>FEB</v>
      </c>
    </row>
    <row r="16" spans="1:17" ht="15" thickBot="1" x14ac:dyDescent="0.3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>
        <f t="shared" si="0"/>
        <v>5000</v>
      </c>
      <c r="H16" s="3" t="str">
        <v>Standard Price</v>
      </c>
      <c r="I16" s="3" t="str">
        <v>16</v>
      </c>
      <c r="J16" s="3" t="str">
        <v>ES</v>
      </c>
      <c r="K16" s="3" t="str">
        <v>APR</v>
      </c>
    </row>
    <row r="17" spans="1:15" ht="15" thickBot="1" x14ac:dyDescent="0.3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4">
        <f t="shared" si="0"/>
        <v>1750</v>
      </c>
      <c r="H17" s="4" t="str">
        <v>Standard Price</v>
      </c>
      <c r="I17" s="4" t="str">
        <v>21</v>
      </c>
      <c r="J17" s="4" t="str">
        <v>CA</v>
      </c>
      <c r="K17" s="4" t="str">
        <v>AUG</v>
      </c>
      <c r="M17" s="5" t="s">
        <v>104</v>
      </c>
      <c r="O17" s="5">
        <f>SUMIF(F2:F35,"Electronics",D2:D35)</f>
        <v>8050</v>
      </c>
    </row>
    <row r="18" spans="1:15" ht="15" thickBot="1" x14ac:dyDescent="0.3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>
        <f t="shared" si="0"/>
        <v>2400</v>
      </c>
      <c r="H18" s="3" t="str">
        <v>Standard Price</v>
      </c>
      <c r="I18" s="3" t="str">
        <v>20</v>
      </c>
      <c r="J18" s="3" t="str">
        <v>CN</v>
      </c>
      <c r="K18" s="3" t="str">
        <v>AUG</v>
      </c>
    </row>
    <row r="19" spans="1:15" ht="15" thickBot="1" x14ac:dyDescent="0.3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4">
        <f t="shared" si="0"/>
        <v>9800</v>
      </c>
      <c r="H19" s="4" t="str">
        <v>High Price</v>
      </c>
      <c r="I19" s="4" t="str">
        <v>27</v>
      </c>
      <c r="J19" s="4" t="str">
        <v>IT</v>
      </c>
      <c r="K19" s="4" t="str">
        <v>JAN</v>
      </c>
      <c r="M19" s="5" t="s">
        <v>100</v>
      </c>
      <c r="O19" s="5">
        <f>COUNTIF(D2:D35,"&lt;100")</f>
        <v>11</v>
      </c>
    </row>
    <row r="20" spans="1:15" x14ac:dyDescent="0.3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>
        <f t="shared" si="0"/>
        <v>2250</v>
      </c>
      <c r="H20" s="3" t="str">
        <v>Standard Price</v>
      </c>
      <c r="I20" s="3" t="str">
        <v>01</v>
      </c>
      <c r="J20" s="3" t="str">
        <v>UK</v>
      </c>
      <c r="K20" s="3" t="str">
        <v>MAR</v>
      </c>
    </row>
    <row r="21" spans="1:15" x14ac:dyDescent="0.3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4">
        <f t="shared" si="0"/>
        <v>2000</v>
      </c>
      <c r="H21" s="4" t="str">
        <v>Standard Price</v>
      </c>
      <c r="I21" s="4" t="str">
        <v>14</v>
      </c>
      <c r="J21" s="4" t="str">
        <v>US</v>
      </c>
      <c r="K21" s="4" t="str">
        <v>AUG</v>
      </c>
    </row>
    <row r="22" spans="1:15" x14ac:dyDescent="0.3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>
        <f t="shared" si="0"/>
        <v>35000</v>
      </c>
      <c r="H22" s="3" t="str">
        <v>High Price</v>
      </c>
      <c r="I22" s="3" t="str">
        <v>14</v>
      </c>
      <c r="J22" s="3" t="str">
        <v>RU</v>
      </c>
      <c r="K22" s="3" t="str">
        <v>MAY</v>
      </c>
    </row>
    <row r="23" spans="1:15" x14ac:dyDescent="0.3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4">
        <f t="shared" si="0"/>
        <v>1600</v>
      </c>
      <c r="H23" s="4" t="str">
        <v>Standard Price</v>
      </c>
      <c r="I23" s="4" t="str">
        <v>09</v>
      </c>
      <c r="J23" s="4" t="str">
        <v>CA</v>
      </c>
      <c r="K23" s="4" t="str">
        <v>JAN</v>
      </c>
    </row>
    <row r="24" spans="1:15" x14ac:dyDescent="0.3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>
        <f t="shared" si="0"/>
        <v>4500</v>
      </c>
      <c r="H24" s="3" t="str">
        <v>Standard Price</v>
      </c>
      <c r="I24" s="3" t="str">
        <v>19</v>
      </c>
      <c r="J24" s="3" t="str">
        <v>BR</v>
      </c>
      <c r="K24" s="3" t="str">
        <v>JUL</v>
      </c>
    </row>
    <row r="25" spans="1:15" x14ac:dyDescent="0.3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4">
        <f t="shared" si="0"/>
        <v>1750</v>
      </c>
      <c r="H25" s="4" t="str">
        <v>Standard Price</v>
      </c>
      <c r="I25" s="4" t="str">
        <v>21</v>
      </c>
      <c r="J25" s="4" t="str">
        <v>CA</v>
      </c>
      <c r="K25" s="4" t="str">
        <v>AUG</v>
      </c>
    </row>
    <row r="26" spans="1:15" x14ac:dyDescent="0.3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>
        <f t="shared" si="0"/>
        <v>36000</v>
      </c>
      <c r="H26" s="3" t="str">
        <v>High Price</v>
      </c>
      <c r="I26" s="3" t="str">
        <v>29</v>
      </c>
      <c r="J26" s="3" t="str">
        <v>CA</v>
      </c>
      <c r="K26" s="3" t="str">
        <v>SEP</v>
      </c>
    </row>
    <row r="27" spans="1:15" x14ac:dyDescent="0.3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4">
        <f t="shared" si="0"/>
        <v>3250</v>
      </c>
      <c r="H27" s="4" t="str">
        <v>Standard Price</v>
      </c>
      <c r="I27" s="4" t="str">
        <v>03</v>
      </c>
      <c r="J27" s="4" t="str">
        <v>CA</v>
      </c>
      <c r="K27" s="4" t="str">
        <v>JUN</v>
      </c>
    </row>
    <row r="28" spans="1:15" x14ac:dyDescent="0.3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>
        <f t="shared" si="0"/>
        <v>16000</v>
      </c>
      <c r="H28" s="3" t="str">
        <v>Standard Price</v>
      </c>
      <c r="I28" s="3" t="str">
        <v>11</v>
      </c>
      <c r="J28" s="3" t="str">
        <v>CA</v>
      </c>
      <c r="K28" s="3" t="str">
        <v>JUL</v>
      </c>
    </row>
    <row r="29" spans="1:15" x14ac:dyDescent="0.3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4">
        <f t="shared" si="0"/>
        <v>4600</v>
      </c>
      <c r="H29" s="4" t="str">
        <v>Standard Price</v>
      </c>
      <c r="I29" s="4" t="str">
        <v>16</v>
      </c>
      <c r="J29" s="4" t="str">
        <v>ES</v>
      </c>
      <c r="K29" s="4" t="str">
        <v>APR</v>
      </c>
    </row>
    <row r="30" spans="1:15" x14ac:dyDescent="0.3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>
        <f t="shared" si="0"/>
        <v>1800</v>
      </c>
      <c r="H30" s="3" t="str">
        <v>Standard Price</v>
      </c>
      <c r="I30" s="3" t="str">
        <v>07</v>
      </c>
      <c r="J30" s="3" t="str">
        <v>CA</v>
      </c>
      <c r="K30" s="3" t="str">
        <v>MAR</v>
      </c>
    </row>
    <row r="31" spans="1:15" x14ac:dyDescent="0.3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4">
        <f t="shared" si="0"/>
        <v>400</v>
      </c>
      <c r="H31" s="4" t="str">
        <v>Standard Price</v>
      </c>
      <c r="I31" s="4" t="str">
        <v>13</v>
      </c>
      <c r="J31" s="4" t="str">
        <v>CA</v>
      </c>
      <c r="K31" s="4" t="str">
        <v>APR</v>
      </c>
    </row>
    <row r="32" spans="1:15" x14ac:dyDescent="0.3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>
        <f t="shared" si="0"/>
        <v>650</v>
      </c>
      <c r="H32" s="3" t="str">
        <v>Standard Price</v>
      </c>
      <c r="I32" s="3" t="str">
        <v>24</v>
      </c>
      <c r="J32" s="3" t="str">
        <v>CA</v>
      </c>
      <c r="K32" s="3" t="str">
        <v>MAY</v>
      </c>
    </row>
    <row r="33" spans="1:11" x14ac:dyDescent="0.3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4">
        <f t="shared" si="0"/>
        <v>2500</v>
      </c>
      <c r="H33" s="4" t="str">
        <v>Standard Price</v>
      </c>
      <c r="I33" s="4" t="str">
        <v>02</v>
      </c>
      <c r="J33" s="4" t="str">
        <v>CA</v>
      </c>
      <c r="K33" s="4" t="str">
        <v>DEC</v>
      </c>
    </row>
    <row r="34" spans="1:11" x14ac:dyDescent="0.3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>
        <f t="shared" si="0"/>
        <v>23750</v>
      </c>
      <c r="H34" s="3" t="str">
        <v>High Price</v>
      </c>
      <c r="I34" s="3" t="str">
        <v>17</v>
      </c>
      <c r="J34" s="3" t="str">
        <v>IN</v>
      </c>
      <c r="K34" s="3" t="str">
        <v>JUN</v>
      </c>
    </row>
    <row r="35" spans="1:11" x14ac:dyDescent="0.3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4">
        <f t="shared" si="0"/>
        <v>2000</v>
      </c>
      <c r="H35" s="4" t="str">
        <v>Standard Price</v>
      </c>
      <c r="I35" s="4" t="str">
        <v>09</v>
      </c>
      <c r="J35" s="4" t="str">
        <v>FR</v>
      </c>
      <c r="K35" s="4" t="str">
        <v>JUL</v>
      </c>
    </row>
    <row r="36" spans="1:11" x14ac:dyDescent="0.3">
      <c r="A36" s="2"/>
      <c r="B36" s="2"/>
      <c r="C36" s="2"/>
      <c r="D36" s="2"/>
      <c r="E36" s="2"/>
      <c r="F36" s="2"/>
      <c r="G3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karthigamalar666@gmail.com</dc:creator>
  <cp:lastModifiedBy>karthigamalar666@gmail.com</cp:lastModifiedBy>
  <dcterms:created xsi:type="dcterms:W3CDTF">2026-09-14T10:10:29Z</dcterms:created>
  <dcterms:modified xsi:type="dcterms:W3CDTF">2026-09-14T11:15:31Z</dcterms:modified>
</cp:coreProperties>
</file>