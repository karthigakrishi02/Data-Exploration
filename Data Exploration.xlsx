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3CE9918C6F12AFA/Desktop/Entri Week Assignments/DATA EXPLORATION/"/>
    </mc:Choice>
  </mc:AlternateContent>
  <xr:revisionPtr revIDLastSave="5" documentId="8_{30BCC16D-E0D3-4F68-BC43-5AE151DCC408}" xr6:coauthVersionLast="47" xr6:coauthVersionMax="47" xr10:uidLastSave="{0D9824F1-8B34-4CBB-AB15-AE1EC9A48AE6}"/>
  <bookViews>
    <workbookView xWindow="-108" yWindow="-108" windowWidth="23256" windowHeight="12456" activeTab="1" xr2:uid="{BC668BBE-E62E-466E-9771-6B789F108C5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2" l="1"/>
  <c r="G2" i="2" a="1"/>
  <c r="G2" i="2" s="1"/>
  <c r="N9" i="2"/>
  <c r="P9" i="2" s="1"/>
  <c r="J2" i="2" a="1"/>
  <c r="J2" i="2" s="1"/>
  <c r="I2" i="2" a="1"/>
  <c r="I2" i="2" s="1"/>
  <c r="H2" i="2" a="1"/>
  <c r="H2" i="2" s="1"/>
  <c r="N19" i="2"/>
  <c r="N17" i="2"/>
  <c r="N13" i="2"/>
  <c r="N11" i="2"/>
  <c r="N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<sst xmlns="http://schemas.openxmlformats.org/spreadsheetml/2006/main" count="295" uniqueCount="104">
  <si>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</si>
  <si>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</si>
  <si>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</si>
  <si>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</si>
  <si>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</si>
  <si>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</si>
  <si>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</si>
  <si>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</si>
  <si>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</si>
  <si>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</si>
  <si>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</si>
  <si>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</si>
  <si>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</si>
  <si>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</si>
  <si>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</si>
  <si>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</si>
  <si>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</si>
  <si>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</si>
  <si>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</si>
  <si>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</si>
  <si>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</si>
  <si>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</si>
  <si>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</si>
  <si>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</si>
  <si>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</si>
  <si>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</si>
  <si>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</si>
  <si>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</si>
  <si>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</si>
  <si>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</si>
  <si>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</si>
  <si>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</si>
  <si>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</si>
  <si>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</si>
  <si>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</si>
  <si>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</si>
  <si>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</si>
  <si>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</si>
  <si>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</si>
  <si>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</si>
  <si>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</si>
  <si>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</si>
  <si>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</si>
  <si>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</si>
  <si>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</si>
  <si>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</si>
  <si>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</si>
  <si>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</si>
  <si>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</si>
  <si>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</si>
  <si>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</si>
  <si>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</si>
  <si>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</si>
  <si>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</si>
  <si>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</si>
  <si>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</si>
  <si>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</si>
  <si>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</si>
  <si>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</si>
  <si>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</si>
  <si>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</si>
  <si>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</si>
  <si>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</si>
  <si>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</si>
  <si>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</si>
  <si>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</si>
  <si>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</si>
  <si>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</si>
  <si>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</si>
  <si>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</si>
  <si>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</si>
  <si>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</si>
  <si>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</si>
  <si>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</si>
  <si>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</si>
  <si>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</si>
  <si>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</si>
  <si>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</si>
  <si>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</si>
  <si>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</si>
  <si>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</si>
  <si>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</si>
  <si>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</si>
  <si>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</si>
  <si>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</si>
  <si>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</si>
  <si>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</si>
  <si>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</si>
  <si>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</si>
  <si>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</si>
  <si>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</si>
  <si>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</si>
  <si>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</si>
  <si>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Total price of all the products</t>
  </si>
  <si>
    <t>How many products exists in the dataset</t>
  </si>
  <si>
    <t>Average price of the products</t>
  </si>
  <si>
    <t>Minimum price among all the products</t>
  </si>
  <si>
    <t>Maximum price among all the products</t>
  </si>
  <si>
    <t>Price Range</t>
  </si>
  <si>
    <t>No of products with a price less than $100</t>
  </si>
  <si>
    <t>Country Code</t>
  </si>
  <si>
    <t>Month</t>
  </si>
  <si>
    <t>Day</t>
  </si>
  <si>
    <t>The total price of products in the Electronics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</si>
</sst>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scheme val="minor"/>
    </font>
    <font>
      <b/>
      <sz val="10"/>
      <color theme="1"/>
      <name val="Arial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3" fillId="2" borderId="0" xfId="1" applyFont="1" applyFill="1" applyAlignment="1">
      <alignment horizontal="center"/>
    </xf>
    <xf numFmtId="0" fontId="0" fillId="0" borderId="0" xfId="0" applyAlignment="1">
      <alignment horizontal="center"/>
    </xf>
    <xf numFmtId="0" fontId="4" fillId="0" borderId="0" xfId="1" applyFont="1" applyAlignment="1">
      <alignment horizontal="center"/>
    </xf>
    <xf numFmtId="0" fontId="4" fillId="3" borderId="0" xfId="1" applyFont="1" applyFill="1" applyAlignment="1">
      <alignment horizontal="center"/>
    </xf>
    <xf numFmtId="0" fontId="1" fillId="0" borderId="1" xfId="0" applyFont="1" applyBorder="1"/>
  </cellXfs>
  <cellStyles count="2">
    <cellStyle name="Normal" xfId="0" builtinId="0"/>
    <cellStyle name="Normal 2" xfId="1" xr:uid="{6C92EEB9-A505-4CB5-99CD-8264E52C0C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45720</xdr:colOff>
      <xdr:row>14</xdr:row>
      <xdr:rowOff>0</xdr:rowOff>
    </xdr:from>
    <xdr:to>
      <xdr:col>13</xdr:col>
      <xdr:colOff>45720</xdr:colOff>
      <xdr:row>15</xdr:row>
      <xdr:rowOff>99060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A62D347-CB69-D0CB-FF2B-86B4C48817C5}"/>
            </a:ext>
          </a:extLst>
        </xdr:cNvPr>
        <xdr:cNvSpPr txBox="1"/>
      </xdr:nvSpPr>
      <xdr:spPr>
        <a:xfrm>
          <a:off x="8679180" y="2575560"/>
          <a:ext cx="3558540" cy="28194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 b="1"/>
            <a:t>New</a:t>
          </a:r>
          <a:r>
            <a:rPr lang="en-IN" sz="1200" b="1" baseline="0"/>
            <a:t> column named  PRICE RANGE is created.</a:t>
          </a:r>
          <a:endParaRPr lang="en-IN" sz="1200" b="1"/>
        </a:p>
      </xdr:txBody>
    </xdr:sp>
    <xdr:clientData/>
  </xdr:twoCellAnchor>
  <xdr:twoCellAnchor>
    <xdr:from>
      <xdr:col>11</xdr:col>
      <xdr:colOff>45720</xdr:colOff>
      <xdr:row>19</xdr:row>
      <xdr:rowOff>121920</xdr:rowOff>
    </xdr:from>
    <xdr:to>
      <xdr:col>15</xdr:col>
      <xdr:colOff>373380</xdr:colOff>
      <xdr:row>21</xdr:row>
      <xdr:rowOff>167640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2A9CF62-16B0-126D-D352-1627291F0A1A}"/>
            </a:ext>
          </a:extLst>
        </xdr:cNvPr>
        <xdr:cNvSpPr txBox="1"/>
      </xdr:nvSpPr>
      <xdr:spPr>
        <a:xfrm>
          <a:off x="8374380" y="3611880"/>
          <a:ext cx="5105400" cy="4114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 b="1"/>
            <a:t>Three New columns named  DAY , COUNTRY CODE , MONTH is created</a:t>
          </a:r>
          <a:r>
            <a:rPr lang="en-IN" sz="1100"/>
            <a:t>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E04C3-D5D4-4D02-A4D9-D8A6AA9F7057}">
  <dimension ref="A1:G36"/>
  <sheetViews>
    <sheetView workbookViewId="0">
      <selection activeCell="H17" sqref="H17"/>
    </sheetView>
  </sheetViews>
  <sheetFormatPr defaultRowHeight="14.4" x14ac:dyDescent="0.3"/>
  <cols>
    <col min="1" max="1" width="10.77734375" bestFit="1" customWidth="1"/>
    <col min="2" max="2" width="13.6640625" bestFit="1" customWidth="1"/>
    <col min="3" max="3" width="11.77734375" bestFit="1" customWidth="1"/>
    <col min="4" max="4" width="8.33203125" bestFit="1" customWidth="1"/>
    <col min="5" max="5" width="8.44140625" bestFit="1" customWidth="1"/>
    <col min="6" max="6" width="11" bestFit="1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</row>
    <row r="2" spans="1:7" x14ac:dyDescent="0.3">
      <c r="A2" s="3" t="s">
        <v>6</v>
      </c>
      <c r="B2" s="3" t="s">
        <v>7</v>
      </c>
      <c r="C2" s="3" t="s">
        <v>8</v>
      </c>
      <c r="D2" s="3">
        <v>1000</v>
      </c>
      <c r="E2" s="3">
        <v>30</v>
      </c>
      <c r="F2" s="3" t="s">
        <v>9</v>
      </c>
      <c r="G2" s="2"/>
    </row>
    <row r="3" spans="1:7" x14ac:dyDescent="0.3">
      <c r="A3" s="4" t="s">
        <v>10</v>
      </c>
      <c r="B3" s="4" t="s">
        <v>11</v>
      </c>
      <c r="C3" s="4" t="s">
        <v>12</v>
      </c>
      <c r="D3" s="4">
        <v>80</v>
      </c>
      <c r="E3" s="4">
        <v>15</v>
      </c>
      <c r="F3" s="4" t="s">
        <v>13</v>
      </c>
      <c r="G3" s="2"/>
    </row>
    <row r="4" spans="1:7" x14ac:dyDescent="0.3">
      <c r="A4" s="3" t="s">
        <v>14</v>
      </c>
      <c r="B4" s="3" t="s">
        <v>15</v>
      </c>
      <c r="C4" s="3" t="s">
        <v>16</v>
      </c>
      <c r="D4" s="3">
        <v>130</v>
      </c>
      <c r="E4" s="3">
        <v>40</v>
      </c>
      <c r="F4" s="3" t="s">
        <v>17</v>
      </c>
      <c r="G4" s="2"/>
    </row>
    <row r="5" spans="1:7" x14ac:dyDescent="0.3">
      <c r="A5" s="4" t="s">
        <v>18</v>
      </c>
      <c r="B5" s="4" t="s">
        <v>19</v>
      </c>
      <c r="C5" s="4" t="s">
        <v>20</v>
      </c>
      <c r="D5" s="4">
        <v>900</v>
      </c>
      <c r="E5" s="4">
        <v>25</v>
      </c>
      <c r="F5" s="4" t="s">
        <v>9</v>
      </c>
      <c r="G5" s="2"/>
    </row>
    <row r="6" spans="1:7" x14ac:dyDescent="0.3">
      <c r="A6" s="3" t="s">
        <v>21</v>
      </c>
      <c r="B6" s="3" t="s">
        <v>22</v>
      </c>
      <c r="C6" s="3" t="s">
        <v>23</v>
      </c>
      <c r="D6" s="3">
        <v>70</v>
      </c>
      <c r="E6" s="3">
        <v>20</v>
      </c>
      <c r="F6" s="3" t="s">
        <v>24</v>
      </c>
      <c r="G6" s="2"/>
    </row>
    <row r="7" spans="1:7" x14ac:dyDescent="0.3">
      <c r="A7" s="4" t="s">
        <v>25</v>
      </c>
      <c r="B7" s="4" t="s">
        <v>26</v>
      </c>
      <c r="C7" s="4" t="s">
        <v>27</v>
      </c>
      <c r="D7" s="4">
        <v>200</v>
      </c>
      <c r="E7" s="4">
        <v>45</v>
      </c>
      <c r="F7" s="4" t="s">
        <v>9</v>
      </c>
      <c r="G7" s="2"/>
    </row>
    <row r="8" spans="1:7" x14ac:dyDescent="0.3">
      <c r="A8" s="3" t="s">
        <v>28</v>
      </c>
      <c r="B8" s="3" t="s">
        <v>29</v>
      </c>
      <c r="C8" s="3" t="s">
        <v>30</v>
      </c>
      <c r="D8" s="3">
        <v>30</v>
      </c>
      <c r="E8" s="3">
        <v>5</v>
      </c>
      <c r="F8" s="3" t="s">
        <v>13</v>
      </c>
      <c r="G8" s="2"/>
    </row>
    <row r="9" spans="1:7" x14ac:dyDescent="0.3">
      <c r="A9" s="4" t="s">
        <v>31</v>
      </c>
      <c r="B9" s="4" t="s">
        <v>32</v>
      </c>
      <c r="C9" s="4" t="s">
        <v>33</v>
      </c>
      <c r="D9" s="4">
        <v>90</v>
      </c>
      <c r="E9" s="4">
        <v>35</v>
      </c>
      <c r="F9" s="4" t="s">
        <v>17</v>
      </c>
      <c r="G9" s="2"/>
    </row>
    <row r="10" spans="1:7" x14ac:dyDescent="0.3">
      <c r="A10" s="3" t="s">
        <v>34</v>
      </c>
      <c r="B10" s="3" t="s">
        <v>35</v>
      </c>
      <c r="C10" s="3" t="s">
        <v>36</v>
      </c>
      <c r="D10" s="3">
        <v>500</v>
      </c>
      <c r="E10" s="3">
        <v>50</v>
      </c>
      <c r="F10" s="3" t="s">
        <v>9</v>
      </c>
      <c r="G10" s="2"/>
    </row>
    <row r="11" spans="1:7" x14ac:dyDescent="0.3">
      <c r="A11" s="4" t="s">
        <v>37</v>
      </c>
      <c r="B11" s="4" t="s">
        <v>38</v>
      </c>
      <c r="C11" s="4" t="s">
        <v>39</v>
      </c>
      <c r="D11" s="4">
        <v>130</v>
      </c>
      <c r="E11" s="4">
        <v>10</v>
      </c>
      <c r="F11" s="4" t="s">
        <v>24</v>
      </c>
      <c r="G11" s="2"/>
    </row>
    <row r="12" spans="1:7" x14ac:dyDescent="0.3">
      <c r="A12" s="3" t="s">
        <v>40</v>
      </c>
      <c r="B12" s="3" t="s">
        <v>7</v>
      </c>
      <c r="C12" s="3" t="s">
        <v>41</v>
      </c>
      <c r="D12" s="3">
        <v>950</v>
      </c>
      <c r="E12" s="3">
        <v>25</v>
      </c>
      <c r="F12" s="3" t="s">
        <v>9</v>
      </c>
      <c r="G12" s="2"/>
    </row>
    <row r="13" spans="1:7" x14ac:dyDescent="0.3">
      <c r="A13" s="4" t="s">
        <v>42</v>
      </c>
      <c r="B13" s="4" t="s">
        <v>11</v>
      </c>
      <c r="C13" s="4" t="s">
        <v>30</v>
      </c>
      <c r="D13" s="4">
        <v>90</v>
      </c>
      <c r="E13" s="4">
        <v>40</v>
      </c>
      <c r="F13" s="4" t="s">
        <v>13</v>
      </c>
      <c r="G13" s="2"/>
    </row>
    <row r="14" spans="1:7" x14ac:dyDescent="0.3">
      <c r="A14" s="3" t="s">
        <v>43</v>
      </c>
      <c r="B14" s="3" t="s">
        <v>15</v>
      </c>
      <c r="C14" s="3" t="s">
        <v>44</v>
      </c>
      <c r="D14" s="3">
        <v>120</v>
      </c>
      <c r="E14" s="3">
        <v>35</v>
      </c>
      <c r="F14" s="3" t="s">
        <v>17</v>
      </c>
      <c r="G14" s="2"/>
    </row>
    <row r="15" spans="1:7" x14ac:dyDescent="0.3">
      <c r="A15" s="4" t="s">
        <v>45</v>
      </c>
      <c r="B15" s="4" t="s">
        <v>46</v>
      </c>
      <c r="C15" s="4" t="s">
        <v>47</v>
      </c>
      <c r="D15" s="4">
        <v>150</v>
      </c>
      <c r="E15" s="4">
        <v>15</v>
      </c>
      <c r="F15" s="4" t="s">
        <v>9</v>
      </c>
      <c r="G15" s="2"/>
    </row>
    <row r="16" spans="1:7" x14ac:dyDescent="0.3">
      <c r="A16" s="3" t="s">
        <v>48</v>
      </c>
      <c r="B16" s="3" t="s">
        <v>26</v>
      </c>
      <c r="C16" s="3" t="s">
        <v>49</v>
      </c>
      <c r="D16" s="3">
        <v>250</v>
      </c>
      <c r="E16" s="3">
        <v>20</v>
      </c>
      <c r="F16" s="3" t="s">
        <v>9</v>
      </c>
      <c r="G16" s="2"/>
    </row>
    <row r="17" spans="1:7" x14ac:dyDescent="0.3">
      <c r="A17" s="4" t="s">
        <v>50</v>
      </c>
      <c r="B17" s="4" t="s">
        <v>51</v>
      </c>
      <c r="C17" s="4" t="s">
        <v>52</v>
      </c>
      <c r="D17" s="4">
        <v>50</v>
      </c>
      <c r="E17" s="4">
        <v>35</v>
      </c>
      <c r="F17" s="4" t="s">
        <v>53</v>
      </c>
      <c r="G17" s="2"/>
    </row>
    <row r="18" spans="1:7" x14ac:dyDescent="0.3">
      <c r="A18" s="3" t="s">
        <v>54</v>
      </c>
      <c r="B18" s="3" t="s">
        <v>46</v>
      </c>
      <c r="C18" s="3" t="s">
        <v>55</v>
      </c>
      <c r="D18" s="3">
        <v>160</v>
      </c>
      <c r="E18" s="3">
        <v>15</v>
      </c>
      <c r="F18" s="3" t="s">
        <v>9</v>
      </c>
      <c r="G18" s="2"/>
    </row>
    <row r="19" spans="1:7" x14ac:dyDescent="0.3">
      <c r="A19" s="4" t="s">
        <v>56</v>
      </c>
      <c r="B19" s="4" t="s">
        <v>7</v>
      </c>
      <c r="C19" s="4" t="s">
        <v>57</v>
      </c>
      <c r="D19" s="4">
        <v>980</v>
      </c>
      <c r="E19" s="4">
        <v>10</v>
      </c>
      <c r="F19" s="4" t="s">
        <v>9</v>
      </c>
      <c r="G19" s="2"/>
    </row>
    <row r="20" spans="1:7" x14ac:dyDescent="0.3">
      <c r="A20" s="3" t="s">
        <v>58</v>
      </c>
      <c r="B20" s="3" t="s">
        <v>59</v>
      </c>
      <c r="C20" s="3" t="s">
        <v>60</v>
      </c>
      <c r="D20" s="3">
        <v>150</v>
      </c>
      <c r="E20" s="3">
        <v>15</v>
      </c>
      <c r="F20" s="3" t="s">
        <v>13</v>
      </c>
      <c r="G20" s="2"/>
    </row>
    <row r="21" spans="1:7" x14ac:dyDescent="0.3">
      <c r="A21" s="4" t="s">
        <v>61</v>
      </c>
      <c r="B21" s="4" t="s">
        <v>62</v>
      </c>
      <c r="C21" s="4" t="s">
        <v>63</v>
      </c>
      <c r="D21" s="4">
        <v>200</v>
      </c>
      <c r="E21" s="4">
        <v>10</v>
      </c>
      <c r="F21" s="4" t="s">
        <v>24</v>
      </c>
      <c r="G21" s="2"/>
    </row>
    <row r="22" spans="1:7" x14ac:dyDescent="0.3">
      <c r="A22" s="3" t="s">
        <v>64</v>
      </c>
      <c r="B22" s="3" t="s">
        <v>65</v>
      </c>
      <c r="C22" s="3" t="s">
        <v>66</v>
      </c>
      <c r="D22" s="3">
        <v>700</v>
      </c>
      <c r="E22" s="3">
        <v>50</v>
      </c>
      <c r="F22" s="3" t="s">
        <v>9</v>
      </c>
      <c r="G22" s="2"/>
    </row>
    <row r="23" spans="1:7" x14ac:dyDescent="0.3">
      <c r="A23" s="4" t="s">
        <v>67</v>
      </c>
      <c r="B23" s="4" t="s">
        <v>68</v>
      </c>
      <c r="C23" s="4" t="s">
        <v>69</v>
      </c>
      <c r="D23" s="4">
        <v>80</v>
      </c>
      <c r="E23" s="4">
        <v>20</v>
      </c>
      <c r="F23" s="4" t="s">
        <v>17</v>
      </c>
      <c r="G23" s="2"/>
    </row>
    <row r="24" spans="1:7" x14ac:dyDescent="0.3">
      <c r="A24" s="3" t="s">
        <v>70</v>
      </c>
      <c r="B24" s="3" t="s">
        <v>71</v>
      </c>
      <c r="C24" s="3" t="s">
        <v>72</v>
      </c>
      <c r="D24" s="3">
        <v>150</v>
      </c>
      <c r="E24" s="3">
        <v>30</v>
      </c>
      <c r="F24" s="3" t="s">
        <v>9</v>
      </c>
      <c r="G24" s="2"/>
    </row>
    <row r="25" spans="1:7" x14ac:dyDescent="0.3">
      <c r="A25" s="4" t="s">
        <v>50</v>
      </c>
      <c r="B25" s="4" t="s">
        <v>51</v>
      </c>
      <c r="C25" s="4" t="s">
        <v>52</v>
      </c>
      <c r="D25" s="4">
        <v>50</v>
      </c>
      <c r="E25" s="4">
        <v>35</v>
      </c>
      <c r="F25" s="4" t="s">
        <v>53</v>
      </c>
      <c r="G25" s="2"/>
    </row>
    <row r="26" spans="1:7" x14ac:dyDescent="0.3">
      <c r="A26" s="3" t="s">
        <v>73</v>
      </c>
      <c r="B26" s="3" t="s">
        <v>19</v>
      </c>
      <c r="C26" s="3" t="s">
        <v>74</v>
      </c>
      <c r="D26" s="3">
        <v>800</v>
      </c>
      <c r="E26" s="3">
        <v>45</v>
      </c>
      <c r="F26" s="3" t="s">
        <v>9</v>
      </c>
      <c r="G26" s="2"/>
    </row>
    <row r="27" spans="1:7" x14ac:dyDescent="0.3">
      <c r="A27" s="4" t="s">
        <v>75</v>
      </c>
      <c r="B27" s="4" t="s">
        <v>59</v>
      </c>
      <c r="C27" s="4" t="s">
        <v>76</v>
      </c>
      <c r="D27" s="4">
        <v>130</v>
      </c>
      <c r="E27" s="4">
        <v>25</v>
      </c>
      <c r="F27" s="4" t="s">
        <v>13</v>
      </c>
      <c r="G27" s="2"/>
    </row>
    <row r="28" spans="1:7" x14ac:dyDescent="0.3">
      <c r="A28" s="3" t="s">
        <v>77</v>
      </c>
      <c r="B28" s="3" t="s">
        <v>32</v>
      </c>
      <c r="C28" s="3" t="s">
        <v>78</v>
      </c>
      <c r="D28" s="3">
        <v>400</v>
      </c>
      <c r="E28" s="3">
        <v>40</v>
      </c>
      <c r="F28" s="3" t="s">
        <v>17</v>
      </c>
      <c r="G28" s="2"/>
    </row>
    <row r="29" spans="1:7" x14ac:dyDescent="0.3">
      <c r="A29" s="4" t="s">
        <v>48</v>
      </c>
      <c r="B29" s="4" t="s">
        <v>26</v>
      </c>
      <c r="C29" s="4" t="s">
        <v>49</v>
      </c>
      <c r="D29" s="4">
        <v>230</v>
      </c>
      <c r="E29" s="4">
        <v>20</v>
      </c>
      <c r="F29" s="4" t="s">
        <v>9</v>
      </c>
      <c r="G29" s="2"/>
    </row>
    <row r="30" spans="1:7" x14ac:dyDescent="0.3">
      <c r="A30" s="3" t="s">
        <v>79</v>
      </c>
      <c r="B30" s="3" t="s">
        <v>80</v>
      </c>
      <c r="C30" s="3" t="s">
        <v>81</v>
      </c>
      <c r="D30" s="3">
        <v>60</v>
      </c>
      <c r="E30" s="3">
        <v>30</v>
      </c>
      <c r="F30" s="3" t="s">
        <v>13</v>
      </c>
      <c r="G30" s="2"/>
    </row>
    <row r="31" spans="1:7" x14ac:dyDescent="0.3">
      <c r="A31" s="4" t="s">
        <v>82</v>
      </c>
      <c r="B31" s="4" t="s">
        <v>83</v>
      </c>
      <c r="C31" s="4" t="s">
        <v>84</v>
      </c>
      <c r="D31" s="4">
        <v>40</v>
      </c>
      <c r="E31" s="4">
        <v>10</v>
      </c>
      <c r="F31" s="4" t="s">
        <v>17</v>
      </c>
      <c r="G31" s="2"/>
    </row>
    <row r="32" spans="1:7" x14ac:dyDescent="0.3">
      <c r="A32" s="3" t="s">
        <v>85</v>
      </c>
      <c r="B32" s="3" t="s">
        <v>71</v>
      </c>
      <c r="C32" s="3" t="s">
        <v>86</v>
      </c>
      <c r="D32" s="3">
        <v>130</v>
      </c>
      <c r="E32" s="3">
        <v>5</v>
      </c>
      <c r="F32" s="3" t="s">
        <v>9</v>
      </c>
      <c r="G32" s="2"/>
    </row>
    <row r="33" spans="1:7" x14ac:dyDescent="0.3">
      <c r="A33" s="4" t="s">
        <v>87</v>
      </c>
      <c r="B33" s="4" t="s">
        <v>88</v>
      </c>
      <c r="C33" s="4" t="s">
        <v>89</v>
      </c>
      <c r="D33" s="4">
        <v>50</v>
      </c>
      <c r="E33" s="4">
        <v>50</v>
      </c>
      <c r="F33" s="4" t="s">
        <v>13</v>
      </c>
      <c r="G33" s="2"/>
    </row>
    <row r="34" spans="1:7" x14ac:dyDescent="0.3">
      <c r="A34" s="3" t="s">
        <v>40</v>
      </c>
      <c r="B34" s="3" t="s">
        <v>7</v>
      </c>
      <c r="C34" s="3" t="s">
        <v>41</v>
      </c>
      <c r="D34" s="3">
        <v>950</v>
      </c>
      <c r="E34" s="3">
        <v>25</v>
      </c>
      <c r="F34" s="3" t="s">
        <v>9</v>
      </c>
      <c r="G34" s="2"/>
    </row>
    <row r="35" spans="1:7" x14ac:dyDescent="0.3">
      <c r="A35" s="4" t="s">
        <v>90</v>
      </c>
      <c r="B35" s="4" t="s">
        <v>91</v>
      </c>
      <c r="C35" s="4" t="s">
        <v>92</v>
      </c>
      <c r="D35" s="4">
        <v>100</v>
      </c>
      <c r="E35" s="4">
        <v>20</v>
      </c>
      <c r="F35" s="4" t="s">
        <v>53</v>
      </c>
      <c r="G35" s="2"/>
    </row>
    <row r="36" spans="1:7" x14ac:dyDescent="0.3">
      <c r="A36" s="2"/>
      <c r="B36" s="2"/>
      <c r="C36" s="2"/>
      <c r="D36" s="2"/>
      <c r="E36" s="2"/>
      <c r="F36" s="2"/>
      <c r="G36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3D256-E499-448D-8193-B79204A3C035}">
  <dimension ref="A1:P36"/>
  <sheetViews>
    <sheetView tabSelected="1" workbookViewId="0">
      <selection activeCell="M25" sqref="M25"/>
    </sheetView>
  </sheetViews>
  <sheetFormatPr defaultRowHeight="14.4" x14ac:dyDescent="0.3"/>
  <cols>
    <col min="1" max="1" width="10.77734375" bestFit="1" customWidth="1"/>
    <col min="2" max="2" width="13.6640625" bestFit="1" customWidth="1"/>
    <col min="3" max="3" width="11.77734375" bestFit="1" customWidth="1"/>
    <col min="4" max="4" width="8.33203125" bestFit="1" customWidth="1"/>
    <col min="5" max="5" width="8.44140625" bestFit="1" customWidth="1"/>
    <col min="6" max="6" width="11" bestFit="1" customWidth="1"/>
    <col min="7" max="7" width="13.33203125" bestFit="1" customWidth="1"/>
    <col min="9" max="9" width="13.33203125" bestFit="1" customWidth="1"/>
    <col min="12" max="12" width="44.6640625" customWidth="1"/>
  </cols>
  <sheetData>
    <row r="1" spans="1:16" ht="15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98</v>
      </c>
      <c r="H1" s="1" t="s">
        <v>102</v>
      </c>
      <c r="I1" s="1" t="s">
        <v>100</v>
      </c>
      <c r="J1" s="1" t="s">
        <v>101</v>
      </c>
    </row>
    <row r="2" spans="1:16" ht="15" thickBot="1" x14ac:dyDescent="0.35">
      <c r="A2" s="3" t="s">
        <v>6</v>
      </c>
      <c r="B2" s="3" t="s">
        <v>7</v>
      </c>
      <c r="C2" s="3" t="s">
        <v>8</v>
      </c>
      <c r="D2" s="3">
        <v>1000</v>
      </c>
      <c r="E2" s="3">
        <v>30</v>
      </c>
      <c r="F2" s="3" t="s">
        <v>9</v>
      </c>
      <c r="G2" s="3" t="str" cm="1">
        <f t="array" ref="G2:G35">IF(D2:D35&gt;=500,"High Price", "Standard Price")</f>
        <v>High Price</v>
      </c>
      <c r="H2" s="3" t="str" cm="1">
        <f t="array" ref="H2:H35">LEFT(A2:A35,2)</f>
        <v>28</v>
      </c>
      <c r="I2" s="3" t="str" cm="1">
        <f t="array" ref="I2:I35">RIGHT(A2:A35,2)</f>
        <v>US</v>
      </c>
      <c r="J2" s="3" t="str" cm="1">
        <f t="array" ref="J2:J35">MID(A2:A35,4,3)</f>
        <v>JAN</v>
      </c>
      <c r="L2" s="5" t="s">
        <v>93</v>
      </c>
      <c r="N2" s="5">
        <f>SUM(D2:D35)</f>
        <v>10100</v>
      </c>
    </row>
    <row r="3" spans="1:16" x14ac:dyDescent="0.3">
      <c r="A3" s="4" t="s">
        <v>10</v>
      </c>
      <c r="B3" s="4" t="s">
        <v>11</v>
      </c>
      <c r="C3" s="4" t="s">
        <v>12</v>
      </c>
      <c r="D3" s="4">
        <v>80</v>
      </c>
      <c r="E3" s="4">
        <v>15</v>
      </c>
      <c r="F3" s="4" t="s">
        <v>13</v>
      </c>
      <c r="G3" s="4" t="str">
        <v>Standard Price</v>
      </c>
      <c r="H3" s="4" t="str">
        <v>15</v>
      </c>
      <c r="I3" s="4" t="str">
        <v>US</v>
      </c>
      <c r="J3" s="4" t="str">
        <v>FEB</v>
      </c>
    </row>
    <row r="4" spans="1:16" x14ac:dyDescent="0.3">
      <c r="A4" s="3" t="s">
        <v>14</v>
      </c>
      <c r="B4" s="3" t="s">
        <v>15</v>
      </c>
      <c r="C4" s="3" t="s">
        <v>16</v>
      </c>
      <c r="D4" s="3">
        <v>130</v>
      </c>
      <c r="E4" s="3">
        <v>40</v>
      </c>
      <c r="F4" s="3" t="s">
        <v>17</v>
      </c>
      <c r="G4" s="3" t="str">
        <v>Standard Price</v>
      </c>
      <c r="H4" s="3" t="str">
        <v>03</v>
      </c>
      <c r="I4" s="3" t="str">
        <v>US</v>
      </c>
      <c r="J4" s="3" t="str">
        <v>MAR</v>
      </c>
    </row>
    <row r="5" spans="1:16" x14ac:dyDescent="0.3">
      <c r="A5" s="4" t="s">
        <v>18</v>
      </c>
      <c r="B5" s="4" t="s">
        <v>19</v>
      </c>
      <c r="C5" s="4" t="s">
        <v>20</v>
      </c>
      <c r="D5" s="4">
        <v>900</v>
      </c>
      <c r="E5" s="4">
        <v>25</v>
      </c>
      <c r="F5" s="4" t="s">
        <v>9</v>
      </c>
      <c r="G5" s="4" t="str">
        <v>High Price</v>
      </c>
      <c r="H5" s="4" t="str">
        <v>11</v>
      </c>
      <c r="I5" s="4" t="str">
        <v>US</v>
      </c>
      <c r="J5" s="4" t="str">
        <v>APR</v>
      </c>
    </row>
    <row r="6" spans="1:16" ht="15" thickBot="1" x14ac:dyDescent="0.35">
      <c r="A6" s="3" t="s">
        <v>21</v>
      </c>
      <c r="B6" s="3" t="s">
        <v>22</v>
      </c>
      <c r="C6" s="3" t="s">
        <v>23</v>
      </c>
      <c r="D6" s="3">
        <v>70</v>
      </c>
      <c r="E6" s="3">
        <v>20</v>
      </c>
      <c r="F6" s="3" t="s">
        <v>24</v>
      </c>
      <c r="G6" s="3" t="str">
        <v>Standard Price</v>
      </c>
      <c r="H6" s="3" t="str">
        <v>22</v>
      </c>
      <c r="I6" s="3" t="str">
        <v>US</v>
      </c>
      <c r="J6" s="3" t="str">
        <v>MAY</v>
      </c>
    </row>
    <row r="7" spans="1:16" ht="15" thickBot="1" x14ac:dyDescent="0.35">
      <c r="A7" s="4" t="s">
        <v>25</v>
      </c>
      <c r="B7" s="4" t="s">
        <v>26</v>
      </c>
      <c r="C7" s="4" t="s">
        <v>27</v>
      </c>
      <c r="D7" s="4">
        <v>200</v>
      </c>
      <c r="E7" s="4">
        <v>45</v>
      </c>
      <c r="F7" s="4" t="s">
        <v>9</v>
      </c>
      <c r="G7" s="4" t="str">
        <v>Standard Price</v>
      </c>
      <c r="H7" s="4" t="str">
        <v>07</v>
      </c>
      <c r="I7" s="4" t="str">
        <v>UK</v>
      </c>
      <c r="J7" s="4" t="str">
        <v>JUN</v>
      </c>
      <c r="L7" s="5" t="s">
        <v>94</v>
      </c>
      <c r="N7" s="5">
        <f>COUNT(D2:D35)</f>
        <v>34</v>
      </c>
    </row>
    <row r="8" spans="1:16" ht="15" thickBot="1" x14ac:dyDescent="0.35">
      <c r="A8" s="3" t="s">
        <v>28</v>
      </c>
      <c r="B8" s="3" t="s">
        <v>29</v>
      </c>
      <c r="C8" s="3" t="s">
        <v>30</v>
      </c>
      <c r="D8" s="3">
        <v>30</v>
      </c>
      <c r="E8" s="3">
        <v>5</v>
      </c>
      <c r="F8" s="3" t="s">
        <v>13</v>
      </c>
      <c r="G8" s="3" t="str">
        <v>Standard Price</v>
      </c>
      <c r="H8" s="3" t="str">
        <v>19</v>
      </c>
      <c r="I8" s="3" t="str">
        <v>UK</v>
      </c>
      <c r="J8" s="3" t="str">
        <v>JUL</v>
      </c>
    </row>
    <row r="9" spans="1:16" ht="15" thickBot="1" x14ac:dyDescent="0.35">
      <c r="A9" s="4" t="s">
        <v>31</v>
      </c>
      <c r="B9" s="4" t="s">
        <v>32</v>
      </c>
      <c r="C9" s="4" t="s">
        <v>33</v>
      </c>
      <c r="D9" s="4">
        <v>90</v>
      </c>
      <c r="E9" s="4">
        <v>35</v>
      </c>
      <c r="F9" s="4" t="s">
        <v>17</v>
      </c>
      <c r="G9" s="4" t="str">
        <v>Standard Price</v>
      </c>
      <c r="H9" s="4" t="str">
        <v>23</v>
      </c>
      <c r="I9" s="4" t="str">
        <v>UK</v>
      </c>
      <c r="J9" s="4" t="str">
        <v>AUG</v>
      </c>
      <c r="L9" s="5" t="s">
        <v>95</v>
      </c>
      <c r="N9" s="5">
        <f>AVERAGE(D2:D35)</f>
        <v>297.05882352941177</v>
      </c>
      <c r="P9" s="5">
        <f>ROUND(N9,2)</f>
        <v>297.06</v>
      </c>
    </row>
    <row r="10" spans="1:16" ht="15" thickBot="1" x14ac:dyDescent="0.35">
      <c r="A10" s="3" t="s">
        <v>34</v>
      </c>
      <c r="B10" s="3" t="s">
        <v>35</v>
      </c>
      <c r="C10" s="3" t="s">
        <v>36</v>
      </c>
      <c r="D10" s="3">
        <v>500</v>
      </c>
      <c r="E10" s="3">
        <v>50</v>
      </c>
      <c r="F10" s="3" t="s">
        <v>9</v>
      </c>
      <c r="G10" s="3" t="str">
        <v>High Price</v>
      </c>
      <c r="H10" s="3" t="str">
        <v>05</v>
      </c>
      <c r="I10" s="3" t="str">
        <v>UK</v>
      </c>
      <c r="J10" s="3" t="str">
        <v>SEP</v>
      </c>
    </row>
    <row r="11" spans="1:16" ht="15" thickBot="1" x14ac:dyDescent="0.35">
      <c r="A11" s="4" t="s">
        <v>37</v>
      </c>
      <c r="B11" s="4" t="s">
        <v>38</v>
      </c>
      <c r="C11" s="4" t="s">
        <v>39</v>
      </c>
      <c r="D11" s="4">
        <v>130</v>
      </c>
      <c r="E11" s="4">
        <v>10</v>
      </c>
      <c r="F11" s="4" t="s">
        <v>24</v>
      </c>
      <c r="G11" s="4" t="str">
        <v>Standard Price</v>
      </c>
      <c r="H11" s="4" t="str">
        <v>14</v>
      </c>
      <c r="I11" s="4" t="str">
        <v>UK</v>
      </c>
      <c r="J11" s="4" t="str">
        <v>OCT</v>
      </c>
      <c r="L11" s="5" t="s">
        <v>96</v>
      </c>
      <c r="N11" s="5">
        <f>MIN(D2:D35)</f>
        <v>30</v>
      </c>
    </row>
    <row r="12" spans="1:16" ht="15" thickBot="1" x14ac:dyDescent="0.35">
      <c r="A12" s="3" t="s">
        <v>40</v>
      </c>
      <c r="B12" s="3" t="s">
        <v>7</v>
      </c>
      <c r="C12" s="3" t="s">
        <v>41</v>
      </c>
      <c r="D12" s="3">
        <v>950</v>
      </c>
      <c r="E12" s="3">
        <v>25</v>
      </c>
      <c r="F12" s="3" t="s">
        <v>9</v>
      </c>
      <c r="G12" s="3" t="str">
        <v>High Price</v>
      </c>
      <c r="H12" s="3" t="str">
        <v>17</v>
      </c>
      <c r="I12" s="3" t="str">
        <v>IN</v>
      </c>
      <c r="J12" s="3" t="str">
        <v>JUN</v>
      </c>
    </row>
    <row r="13" spans="1:16" ht="15" thickBot="1" x14ac:dyDescent="0.35">
      <c r="A13" s="4" t="s">
        <v>42</v>
      </c>
      <c r="B13" s="4" t="s">
        <v>11</v>
      </c>
      <c r="C13" s="4" t="s">
        <v>30</v>
      </c>
      <c r="D13" s="4">
        <v>90</v>
      </c>
      <c r="E13" s="4">
        <v>40</v>
      </c>
      <c r="F13" s="4" t="s">
        <v>13</v>
      </c>
      <c r="G13" s="4" t="str">
        <v>Standard Price</v>
      </c>
      <c r="H13" s="4" t="str">
        <v>25</v>
      </c>
      <c r="I13" s="4" t="str">
        <v>AU</v>
      </c>
      <c r="J13" s="4" t="str">
        <v>NOV</v>
      </c>
      <c r="L13" s="5" t="s">
        <v>97</v>
      </c>
      <c r="N13" s="5">
        <f>MAX(D2:D35)</f>
        <v>1000</v>
      </c>
    </row>
    <row r="14" spans="1:16" x14ac:dyDescent="0.3">
      <c r="A14" s="3" t="s">
        <v>43</v>
      </c>
      <c r="B14" s="3" t="s">
        <v>15</v>
      </c>
      <c r="C14" s="3" t="s">
        <v>44</v>
      </c>
      <c r="D14" s="3">
        <v>120</v>
      </c>
      <c r="E14" s="3">
        <v>35</v>
      </c>
      <c r="F14" s="3" t="s">
        <v>17</v>
      </c>
      <c r="G14" s="3" t="str">
        <v>Standard Price</v>
      </c>
      <c r="H14" s="3" t="str">
        <v>08</v>
      </c>
      <c r="I14" s="3" t="str">
        <v>DE</v>
      </c>
      <c r="J14" s="3" t="str">
        <v>DEC</v>
      </c>
    </row>
    <row r="15" spans="1:16" x14ac:dyDescent="0.3">
      <c r="A15" s="4" t="s">
        <v>45</v>
      </c>
      <c r="B15" s="4" t="s">
        <v>46</v>
      </c>
      <c r="C15" s="4" t="s">
        <v>47</v>
      </c>
      <c r="D15" s="4">
        <v>150</v>
      </c>
      <c r="E15" s="4">
        <v>15</v>
      </c>
      <c r="F15" s="4" t="s">
        <v>9</v>
      </c>
      <c r="G15" s="4" t="str">
        <v>Standard Price</v>
      </c>
      <c r="H15" s="4" t="str">
        <v>18</v>
      </c>
      <c r="I15" s="4" t="str">
        <v>CA</v>
      </c>
      <c r="J15" s="4" t="str">
        <v>FEB</v>
      </c>
    </row>
    <row r="16" spans="1:16" ht="15" thickBot="1" x14ac:dyDescent="0.35">
      <c r="A16" s="3" t="s">
        <v>48</v>
      </c>
      <c r="B16" s="3" t="s">
        <v>26</v>
      </c>
      <c r="C16" s="3" t="s">
        <v>49</v>
      </c>
      <c r="D16" s="3">
        <v>250</v>
      </c>
      <c r="E16" s="3">
        <v>20</v>
      </c>
      <c r="F16" s="3" t="s">
        <v>9</v>
      </c>
      <c r="G16" s="3" t="str">
        <v>Standard Price</v>
      </c>
      <c r="H16" s="3" t="str">
        <v>16</v>
      </c>
      <c r="I16" s="3" t="str">
        <v>ES</v>
      </c>
      <c r="J16" s="3" t="str">
        <v>APR</v>
      </c>
    </row>
    <row r="17" spans="1:14" ht="15" thickBot="1" x14ac:dyDescent="0.35">
      <c r="A17" s="4" t="s">
        <v>50</v>
      </c>
      <c r="B17" s="4" t="s">
        <v>51</v>
      </c>
      <c r="C17" s="4" t="s">
        <v>52</v>
      </c>
      <c r="D17" s="4">
        <v>50</v>
      </c>
      <c r="E17" s="4">
        <v>35</v>
      </c>
      <c r="F17" s="4" t="s">
        <v>53</v>
      </c>
      <c r="G17" s="4" t="str">
        <v>Standard Price</v>
      </c>
      <c r="H17" s="4" t="str">
        <v>21</v>
      </c>
      <c r="I17" s="4" t="str">
        <v>CA</v>
      </c>
      <c r="J17" s="4" t="str">
        <v>AUG</v>
      </c>
      <c r="L17" s="5" t="s">
        <v>103</v>
      </c>
      <c r="N17" s="5">
        <f>SUMIF(F2:F35,"Electronics",D2:D35)</f>
        <v>8050</v>
      </c>
    </row>
    <row r="18" spans="1:14" ht="15" thickBot="1" x14ac:dyDescent="0.35">
      <c r="A18" s="3" t="s">
        <v>54</v>
      </c>
      <c r="B18" s="3" t="s">
        <v>46</v>
      </c>
      <c r="C18" s="3" t="s">
        <v>55</v>
      </c>
      <c r="D18" s="3">
        <v>160</v>
      </c>
      <c r="E18" s="3">
        <v>15</v>
      </c>
      <c r="F18" s="3" t="s">
        <v>9</v>
      </c>
      <c r="G18" s="3" t="str">
        <v>Standard Price</v>
      </c>
      <c r="H18" s="3" t="str">
        <v>20</v>
      </c>
      <c r="I18" s="3" t="str">
        <v>CN</v>
      </c>
      <c r="J18" s="3" t="str">
        <v>AUG</v>
      </c>
    </row>
    <row r="19" spans="1:14" ht="15" thickBot="1" x14ac:dyDescent="0.35">
      <c r="A19" s="4" t="s">
        <v>56</v>
      </c>
      <c r="B19" s="4" t="s">
        <v>7</v>
      </c>
      <c r="C19" s="4" t="s">
        <v>57</v>
      </c>
      <c r="D19" s="4">
        <v>980</v>
      </c>
      <c r="E19" s="4">
        <v>10</v>
      </c>
      <c r="F19" s="4" t="s">
        <v>9</v>
      </c>
      <c r="G19" s="4" t="str">
        <v>High Price</v>
      </c>
      <c r="H19" s="4" t="str">
        <v>27</v>
      </c>
      <c r="I19" s="4" t="str">
        <v>IT</v>
      </c>
      <c r="J19" s="4" t="str">
        <v>JAN</v>
      </c>
      <c r="L19" s="5" t="s">
        <v>99</v>
      </c>
      <c r="N19" s="5">
        <f>COUNTIF(D2:D35,"&lt;100")</f>
        <v>11</v>
      </c>
    </row>
    <row r="20" spans="1:14" x14ac:dyDescent="0.3">
      <c r="A20" s="3" t="s">
        <v>58</v>
      </c>
      <c r="B20" s="3" t="s">
        <v>59</v>
      </c>
      <c r="C20" s="3" t="s">
        <v>60</v>
      </c>
      <c r="D20" s="3">
        <v>150</v>
      </c>
      <c r="E20" s="3">
        <v>15</v>
      </c>
      <c r="F20" s="3" t="s">
        <v>13</v>
      </c>
      <c r="G20" s="3" t="str">
        <v>Standard Price</v>
      </c>
      <c r="H20" s="3" t="str">
        <v>01</v>
      </c>
      <c r="I20" s="3" t="str">
        <v>UK</v>
      </c>
      <c r="J20" s="3" t="str">
        <v>MAR</v>
      </c>
    </row>
    <row r="21" spans="1:14" x14ac:dyDescent="0.3">
      <c r="A21" s="4" t="s">
        <v>61</v>
      </c>
      <c r="B21" s="4" t="s">
        <v>62</v>
      </c>
      <c r="C21" s="4" t="s">
        <v>63</v>
      </c>
      <c r="D21" s="4">
        <v>200</v>
      </c>
      <c r="E21" s="4">
        <v>10</v>
      </c>
      <c r="F21" s="4" t="s">
        <v>24</v>
      </c>
      <c r="G21" s="4" t="str">
        <v>Standard Price</v>
      </c>
      <c r="H21" s="4" t="str">
        <v>14</v>
      </c>
      <c r="I21" s="4" t="str">
        <v>US</v>
      </c>
      <c r="J21" s="4" t="str">
        <v>AUG</v>
      </c>
    </row>
    <row r="22" spans="1:14" x14ac:dyDescent="0.3">
      <c r="A22" s="3" t="s">
        <v>64</v>
      </c>
      <c r="B22" s="3" t="s">
        <v>65</v>
      </c>
      <c r="C22" s="3" t="s">
        <v>66</v>
      </c>
      <c r="D22" s="3">
        <v>700</v>
      </c>
      <c r="E22" s="3">
        <v>50</v>
      </c>
      <c r="F22" s="3" t="s">
        <v>9</v>
      </c>
      <c r="G22" s="3" t="str">
        <v>High Price</v>
      </c>
      <c r="H22" s="3" t="str">
        <v>14</v>
      </c>
      <c r="I22" s="3" t="str">
        <v>RU</v>
      </c>
      <c r="J22" s="3" t="str">
        <v>MAY</v>
      </c>
    </row>
    <row r="23" spans="1:14" x14ac:dyDescent="0.3">
      <c r="A23" s="4" t="s">
        <v>67</v>
      </c>
      <c r="B23" s="4" t="s">
        <v>68</v>
      </c>
      <c r="C23" s="4" t="s">
        <v>69</v>
      </c>
      <c r="D23" s="4">
        <v>80</v>
      </c>
      <c r="E23" s="4">
        <v>20</v>
      </c>
      <c r="F23" s="4" t="s">
        <v>17</v>
      </c>
      <c r="G23" s="4" t="str">
        <v>Standard Price</v>
      </c>
      <c r="H23" s="4" t="str">
        <v>09</v>
      </c>
      <c r="I23" s="4" t="str">
        <v>CA</v>
      </c>
      <c r="J23" s="4" t="str">
        <v>JAN</v>
      </c>
    </row>
    <row r="24" spans="1:14" x14ac:dyDescent="0.3">
      <c r="A24" s="3" t="s">
        <v>70</v>
      </c>
      <c r="B24" s="3" t="s">
        <v>71</v>
      </c>
      <c r="C24" s="3" t="s">
        <v>72</v>
      </c>
      <c r="D24" s="3">
        <v>150</v>
      </c>
      <c r="E24" s="3">
        <v>30</v>
      </c>
      <c r="F24" s="3" t="s">
        <v>9</v>
      </c>
      <c r="G24" s="3" t="str">
        <v>Standard Price</v>
      </c>
      <c r="H24" s="3" t="str">
        <v>19</v>
      </c>
      <c r="I24" s="3" t="str">
        <v>BR</v>
      </c>
      <c r="J24" s="3" t="str">
        <v>JUL</v>
      </c>
    </row>
    <row r="25" spans="1:14" x14ac:dyDescent="0.3">
      <c r="A25" s="4" t="s">
        <v>50</v>
      </c>
      <c r="B25" s="4" t="s">
        <v>51</v>
      </c>
      <c r="C25" s="4" t="s">
        <v>52</v>
      </c>
      <c r="D25" s="4">
        <v>50</v>
      </c>
      <c r="E25" s="4">
        <v>35</v>
      </c>
      <c r="F25" s="4" t="s">
        <v>53</v>
      </c>
      <c r="G25" s="4" t="str">
        <v>Standard Price</v>
      </c>
      <c r="H25" s="4" t="str">
        <v>21</v>
      </c>
      <c r="I25" s="4" t="str">
        <v>CA</v>
      </c>
      <c r="J25" s="4" t="str">
        <v>AUG</v>
      </c>
    </row>
    <row r="26" spans="1:14" x14ac:dyDescent="0.3">
      <c r="A26" s="3" t="s">
        <v>73</v>
      </c>
      <c r="B26" s="3" t="s">
        <v>19</v>
      </c>
      <c r="C26" s="3" t="s">
        <v>74</v>
      </c>
      <c r="D26" s="3">
        <v>800</v>
      </c>
      <c r="E26" s="3">
        <v>45</v>
      </c>
      <c r="F26" s="3" t="s">
        <v>9</v>
      </c>
      <c r="G26" s="3" t="str">
        <v>High Price</v>
      </c>
      <c r="H26" s="3" t="str">
        <v>29</v>
      </c>
      <c r="I26" s="3" t="str">
        <v>CA</v>
      </c>
      <c r="J26" s="3" t="str">
        <v>SEP</v>
      </c>
    </row>
    <row r="27" spans="1:14" x14ac:dyDescent="0.3">
      <c r="A27" s="4" t="s">
        <v>75</v>
      </c>
      <c r="B27" s="4" t="s">
        <v>59</v>
      </c>
      <c r="C27" s="4" t="s">
        <v>76</v>
      </c>
      <c r="D27" s="4">
        <v>130</v>
      </c>
      <c r="E27" s="4">
        <v>25</v>
      </c>
      <c r="F27" s="4" t="s">
        <v>13</v>
      </c>
      <c r="G27" s="4" t="str">
        <v>Standard Price</v>
      </c>
      <c r="H27" s="4" t="str">
        <v>03</v>
      </c>
      <c r="I27" s="4" t="str">
        <v>CA</v>
      </c>
      <c r="J27" s="4" t="str">
        <v>JUN</v>
      </c>
    </row>
    <row r="28" spans="1:14" x14ac:dyDescent="0.3">
      <c r="A28" s="3" t="s">
        <v>77</v>
      </c>
      <c r="B28" s="3" t="s">
        <v>32</v>
      </c>
      <c r="C28" s="3" t="s">
        <v>78</v>
      </c>
      <c r="D28" s="3">
        <v>400</v>
      </c>
      <c r="E28" s="3">
        <v>40</v>
      </c>
      <c r="F28" s="3" t="s">
        <v>17</v>
      </c>
      <c r="G28" s="3" t="str">
        <v>Standard Price</v>
      </c>
      <c r="H28" s="3" t="str">
        <v>11</v>
      </c>
      <c r="I28" s="3" t="str">
        <v>CA</v>
      </c>
      <c r="J28" s="3" t="str">
        <v>JUL</v>
      </c>
    </row>
    <row r="29" spans="1:14" x14ac:dyDescent="0.3">
      <c r="A29" s="4" t="s">
        <v>48</v>
      </c>
      <c r="B29" s="4" t="s">
        <v>26</v>
      </c>
      <c r="C29" s="4" t="s">
        <v>49</v>
      </c>
      <c r="D29" s="4">
        <v>230</v>
      </c>
      <c r="E29" s="4">
        <v>20</v>
      </c>
      <c r="F29" s="4" t="s">
        <v>9</v>
      </c>
      <c r="G29" s="4" t="str">
        <v>Standard Price</v>
      </c>
      <c r="H29" s="4" t="str">
        <v>16</v>
      </c>
      <c r="I29" s="4" t="str">
        <v>ES</v>
      </c>
      <c r="J29" s="4" t="str">
        <v>APR</v>
      </c>
    </row>
    <row r="30" spans="1:14" x14ac:dyDescent="0.3">
      <c r="A30" s="3" t="s">
        <v>79</v>
      </c>
      <c r="B30" s="3" t="s">
        <v>80</v>
      </c>
      <c r="C30" s="3" t="s">
        <v>81</v>
      </c>
      <c r="D30" s="3">
        <v>60</v>
      </c>
      <c r="E30" s="3">
        <v>30</v>
      </c>
      <c r="F30" s="3" t="s">
        <v>13</v>
      </c>
      <c r="G30" s="3" t="str">
        <v>Standard Price</v>
      </c>
      <c r="H30" s="3" t="str">
        <v>07</v>
      </c>
      <c r="I30" s="3" t="str">
        <v>CA</v>
      </c>
      <c r="J30" s="3" t="str">
        <v>MAR</v>
      </c>
    </row>
    <row r="31" spans="1:14" x14ac:dyDescent="0.3">
      <c r="A31" s="4" t="s">
        <v>82</v>
      </c>
      <c r="B31" s="4" t="s">
        <v>83</v>
      </c>
      <c r="C31" s="4" t="s">
        <v>84</v>
      </c>
      <c r="D31" s="4">
        <v>40</v>
      </c>
      <c r="E31" s="4">
        <v>10</v>
      </c>
      <c r="F31" s="4" t="s">
        <v>17</v>
      </c>
      <c r="G31" s="4" t="str">
        <v>Standard Price</v>
      </c>
      <c r="H31" s="4" t="str">
        <v>13</v>
      </c>
      <c r="I31" s="4" t="str">
        <v>CA</v>
      </c>
      <c r="J31" s="4" t="str">
        <v>APR</v>
      </c>
    </row>
    <row r="32" spans="1:14" x14ac:dyDescent="0.3">
      <c r="A32" s="3" t="s">
        <v>85</v>
      </c>
      <c r="B32" s="3" t="s">
        <v>71</v>
      </c>
      <c r="C32" s="3" t="s">
        <v>86</v>
      </c>
      <c r="D32" s="3">
        <v>130</v>
      </c>
      <c r="E32" s="3">
        <v>5</v>
      </c>
      <c r="F32" s="3" t="s">
        <v>9</v>
      </c>
      <c r="G32" s="3" t="str">
        <v>Standard Price</v>
      </c>
      <c r="H32" s="3" t="str">
        <v>24</v>
      </c>
      <c r="I32" s="3" t="str">
        <v>CA</v>
      </c>
      <c r="J32" s="3" t="str">
        <v>MAY</v>
      </c>
    </row>
    <row r="33" spans="1:10" x14ac:dyDescent="0.3">
      <c r="A33" s="4" t="s">
        <v>87</v>
      </c>
      <c r="B33" s="4" t="s">
        <v>88</v>
      </c>
      <c r="C33" s="4" t="s">
        <v>89</v>
      </c>
      <c r="D33" s="4">
        <v>50</v>
      </c>
      <c r="E33" s="4">
        <v>50</v>
      </c>
      <c r="F33" s="4" t="s">
        <v>13</v>
      </c>
      <c r="G33" s="4" t="str">
        <v>Standard Price</v>
      </c>
      <c r="H33" s="4" t="str">
        <v>02</v>
      </c>
      <c r="I33" s="4" t="str">
        <v>CA</v>
      </c>
      <c r="J33" s="4" t="str">
        <v>DEC</v>
      </c>
    </row>
    <row r="34" spans="1:10" x14ac:dyDescent="0.3">
      <c r="A34" s="3" t="s">
        <v>40</v>
      </c>
      <c r="B34" s="3" t="s">
        <v>7</v>
      </c>
      <c r="C34" s="3" t="s">
        <v>41</v>
      </c>
      <c r="D34" s="3">
        <v>950</v>
      </c>
      <c r="E34" s="3">
        <v>25</v>
      </c>
      <c r="F34" s="3" t="s">
        <v>9</v>
      </c>
      <c r="G34" s="3" t="str">
        <v>High Price</v>
      </c>
      <c r="H34" s="3" t="str">
        <v>17</v>
      </c>
      <c r="I34" s="3" t="str">
        <v>IN</v>
      </c>
      <c r="J34" s="3" t="str">
        <v>JUN</v>
      </c>
    </row>
    <row r="35" spans="1:10" x14ac:dyDescent="0.3">
      <c r="A35" s="4" t="s">
        <v>90</v>
      </c>
      <c r="B35" s="4" t="s">
        <v>91</v>
      </c>
      <c r="C35" s="4" t="s">
        <v>92</v>
      </c>
      <c r="D35" s="4">
        <v>100</v>
      </c>
      <c r="E35" s="4">
        <v>20</v>
      </c>
      <c r="F35" s="4" t="s">
        <v>53</v>
      </c>
      <c r="G35" s="4" t="str">
        <v>Standard Price</v>
      </c>
      <c r="H35" s="4" t="str">
        <v>09</v>
      </c>
      <c r="I35" s="4" t="str">
        <v>FR</v>
      </c>
      <c r="J35" s="4" t="str">
        <v>JUL</v>
      </c>
    </row>
    <row r="36" spans="1:10" x14ac:dyDescent="0.3">
      <c r="A36" s="2"/>
      <c r="B36" s="2"/>
      <c r="C36" s="2"/>
      <c r="D36" s="2"/>
      <c r="E36" s="2"/>
      <c r="F36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karthigamalar666@gmail.com</dc:creator>
  <cp:lastModifiedBy>karthigamalar666@gmail.com</cp:lastModifiedBy>
  <dcterms:created xsi:type="dcterms:W3CDTF">2026-09-14T10:10:29Z</dcterms:created>
  <dcterms:modified xsi:type="dcterms:W3CDTF">2026-09-16T10:51:47Z</dcterms:modified>
</cp:coreProperties>
</file>